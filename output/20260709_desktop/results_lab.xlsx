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sei\dev\tae\tae-de-varlen\output\20260709_desktop\"/>
    </mc:Choice>
  </mc:AlternateContent>
  <xr:revisionPtr revIDLastSave="0" documentId="13_ncr:1_{52C48055-9638-4AB1-9A8A-6FAD6C33B615}" xr6:coauthVersionLast="47" xr6:coauthVersionMax="47" xr10:uidLastSave="{00000000-0000-0000-0000-000000000000}"/>
  <bookViews>
    <workbookView xWindow="3105" yWindow="240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  <c r="K19" i="1"/>
  <c r="K18" i="1"/>
  <c r="I20" i="1"/>
  <c r="I19" i="1"/>
  <c r="I1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2" i="1"/>
</calcChain>
</file>

<file path=xl/sharedStrings.xml><?xml version="1.0" encoding="utf-8"?>
<sst xmlns="http://schemas.openxmlformats.org/spreadsheetml/2006/main" count="118" uniqueCount="60">
  <si>
    <t>開始日時</t>
  </si>
  <si>
    <t>終了日時</t>
  </si>
  <si>
    <t>実行時間（秒）</t>
  </si>
  <si>
    <t>実行時間（分）</t>
  </si>
  <si>
    <t>平均世代数</t>
  </si>
  <si>
    <t>モデル名</t>
  </si>
  <si>
    <t>データセット名</t>
  </si>
  <si>
    <t>戦略</t>
  </si>
  <si>
    <t>選択モード</t>
  </si>
  <si>
    <t>Lim</t>
  </si>
  <si>
    <t>最大摂動数</t>
  </si>
  <si>
    <t>平均摂動数</t>
  </si>
  <si>
    <t>平均振幅(1摂動あたり)</t>
  </si>
  <si>
    <t>評価関数</t>
  </si>
  <si>
    <t>元精度</t>
  </si>
  <si>
    <t>攻撃後精度</t>
  </si>
  <si>
    <t>MAE</t>
  </si>
  <si>
    <t>MSE</t>
  </si>
  <si>
    <t>RMSE</t>
  </si>
  <si>
    <t>2026-07-09 06:57:40</t>
  </si>
  <si>
    <t>2026-07-09 07:00:07</t>
  </si>
  <si>
    <t>fcn</t>
  </si>
  <si>
    <t>BeetleFly</t>
  </si>
  <si>
    <t>varlen_rand1exp</t>
  </si>
  <si>
    <t>varlen</t>
  </si>
  <si>
    <t>varlen_rand1</t>
  </si>
  <si>
    <t>2026-07-09 07:00:34</t>
  </si>
  <si>
    <t>2026-07-09 07:08:21</t>
  </si>
  <si>
    <t>Car</t>
  </si>
  <si>
    <t>2026-07-09 07:09:36</t>
  </si>
  <si>
    <t>2026-07-09 07:12:55</t>
  </si>
  <si>
    <t>Coffee</t>
  </si>
  <si>
    <t>2026-07-09 07:13:32</t>
  </si>
  <si>
    <t>2026-07-09 07:47:52</t>
  </si>
  <si>
    <t>Computers</t>
  </si>
  <si>
    <t>2026-07-09 07:53:06</t>
  </si>
  <si>
    <t>2026-07-09 08:05:05</t>
  </si>
  <si>
    <t>ECG200</t>
  </si>
  <si>
    <t>2026-07-09 08:07:09</t>
  </si>
  <si>
    <t>2026-07-09 08:29:14</t>
  </si>
  <si>
    <t>ShapeletSim</t>
  </si>
  <si>
    <t>2026-07-09 08:33:29</t>
  </si>
  <si>
    <t>2026-07-09 08:49:19</t>
  </si>
  <si>
    <t>ToeSegmentation2</t>
  </si>
  <si>
    <t>2026-07-09 08:52:08</t>
  </si>
  <si>
    <t>2026-07-09 08:59:30</t>
  </si>
  <si>
    <t>resnet</t>
  </si>
  <si>
    <t>2026-07-09 08:59:58</t>
  </si>
  <si>
    <t>2026-07-09 09:22:34</t>
  </si>
  <si>
    <t>2026-07-09 09:24:00</t>
  </si>
  <si>
    <t>2026-07-09 09:34:23</t>
  </si>
  <si>
    <t>2026-07-09 09:35:03</t>
  </si>
  <si>
    <t>2026-07-09 11:08:43</t>
  </si>
  <si>
    <t>2026-07-09 11:14:21</t>
  </si>
  <si>
    <t>2026-07-09 11:52:15</t>
  </si>
  <si>
    <t>2026-07-09 11:54:22</t>
  </si>
  <si>
    <t>2026-07-09 13:01:18</t>
  </si>
  <si>
    <t>2026-07-09 13:05:38</t>
  </si>
  <si>
    <t>2026-07-09 13:53:57</t>
  </si>
  <si>
    <t>低下量</t>
    <rPh sb="0" eb="3">
      <t>テイカリョウ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</si>
</sst>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topLeftCell="B1" workbookViewId="0">
      <selection activeCell="K21" sqref="K21"/>
    </sheetView>
  </sheetViews>
  <sheetFormatPr defaultRowHeight="13.5" x14ac:dyDescent="0.15"/>
  <cols>
    <col min="11" max="11" width="12.75" bestFit="1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59</v>
      </c>
    </row>
    <row r="2" spans="1:20" x14ac:dyDescent="0.15">
      <c r="A2" t="s">
        <v>19</v>
      </c>
      <c r="B2" t="s">
        <v>20</v>
      </c>
      <c r="C2">
        <v>147.013091</v>
      </c>
      <c r="D2">
        <v>2</v>
      </c>
      <c r="E2">
        <v>200</v>
      </c>
      <c r="F2" t="s">
        <v>21</v>
      </c>
      <c r="G2" t="s">
        <v>22</v>
      </c>
      <c r="H2" t="s">
        <v>23</v>
      </c>
      <c r="I2" t="s">
        <v>24</v>
      </c>
      <c r="J2">
        <v>0.3</v>
      </c>
      <c r="K2">
        <v>15</v>
      </c>
      <c r="L2">
        <v>1.6</v>
      </c>
      <c r="M2">
        <v>0.15265470568556341</v>
      </c>
      <c r="N2" t="s">
        <v>25</v>
      </c>
      <c r="O2">
        <v>95</v>
      </c>
      <c r="P2">
        <v>85</v>
      </c>
      <c r="Q2">
        <v>2.385229776336928E-4</v>
      </c>
      <c r="R2">
        <v>6.6110189292637028E-5</v>
      </c>
      <c r="S2">
        <v>8.1308172585931992E-3</v>
      </c>
      <c r="T2">
        <f>O2-P2</f>
        <v>10</v>
      </c>
    </row>
    <row r="3" spans="1:20" x14ac:dyDescent="0.15">
      <c r="A3" t="s">
        <v>26</v>
      </c>
      <c r="B3" t="s">
        <v>27</v>
      </c>
      <c r="C3">
        <v>467.71111300000001</v>
      </c>
      <c r="D3">
        <v>7</v>
      </c>
      <c r="E3">
        <v>200</v>
      </c>
      <c r="F3" t="s">
        <v>21</v>
      </c>
      <c r="G3" t="s">
        <v>28</v>
      </c>
      <c r="H3" t="s">
        <v>23</v>
      </c>
      <c r="I3" t="s">
        <v>24</v>
      </c>
      <c r="J3">
        <v>0.3</v>
      </c>
      <c r="K3">
        <v>15</v>
      </c>
      <c r="L3">
        <v>1.833333333333333</v>
      </c>
      <c r="M3">
        <v>0.1235809027483421</v>
      </c>
      <c r="N3" t="s">
        <v>25</v>
      </c>
      <c r="O3">
        <v>90</v>
      </c>
      <c r="P3">
        <v>71.666664123535156</v>
      </c>
      <c r="Q3">
        <v>2.4987473114916077E-4</v>
      </c>
      <c r="R3">
        <v>5.9724251607324893E-5</v>
      </c>
      <c r="S3">
        <v>7.7281467123318046E-3</v>
      </c>
      <c r="T3">
        <f t="shared" ref="T3:T15" si="0">O3-P3</f>
        <v>18.333335876464844</v>
      </c>
    </row>
    <row r="4" spans="1:20" x14ac:dyDescent="0.15">
      <c r="A4" t="s">
        <v>29</v>
      </c>
      <c r="B4" t="s">
        <v>30</v>
      </c>
      <c r="C4">
        <v>199.562962</v>
      </c>
      <c r="D4">
        <v>3</v>
      </c>
      <c r="E4">
        <v>200</v>
      </c>
      <c r="F4" t="s">
        <v>21</v>
      </c>
      <c r="G4" t="s">
        <v>31</v>
      </c>
      <c r="H4" t="s">
        <v>23</v>
      </c>
      <c r="I4" t="s">
        <v>24</v>
      </c>
      <c r="J4">
        <v>0.3</v>
      </c>
      <c r="K4">
        <v>15</v>
      </c>
      <c r="L4">
        <v>1</v>
      </c>
      <c r="M4">
        <v>0</v>
      </c>
      <c r="N4" t="s">
        <v>25</v>
      </c>
      <c r="O4">
        <v>100</v>
      </c>
      <c r="P4">
        <v>100</v>
      </c>
      <c r="Q4">
        <v>0</v>
      </c>
      <c r="R4">
        <v>0</v>
      </c>
      <c r="S4">
        <v>0</v>
      </c>
      <c r="T4">
        <f t="shared" si="0"/>
        <v>0</v>
      </c>
    </row>
    <row r="5" spans="1:20" x14ac:dyDescent="0.15">
      <c r="A5" t="s">
        <v>32</v>
      </c>
      <c r="B5" t="s">
        <v>33</v>
      </c>
      <c r="C5">
        <v>2060.2508200000002</v>
      </c>
      <c r="D5">
        <v>34</v>
      </c>
      <c r="E5">
        <v>200</v>
      </c>
      <c r="F5" t="s">
        <v>21</v>
      </c>
      <c r="G5" t="s">
        <v>34</v>
      </c>
      <c r="H5" t="s">
        <v>23</v>
      </c>
      <c r="I5" t="s">
        <v>24</v>
      </c>
      <c r="J5">
        <v>0.3</v>
      </c>
      <c r="K5">
        <v>15</v>
      </c>
      <c r="L5">
        <v>1.0640000000000001</v>
      </c>
      <c r="M5">
        <v>6.8149014011673364E-2</v>
      </c>
      <c r="N5" t="s">
        <v>25</v>
      </c>
      <c r="O5">
        <v>80.400001525878906</v>
      </c>
      <c r="P5">
        <v>79.199996948242188</v>
      </c>
      <c r="Q5">
        <v>1.7415859136316531E-5</v>
      </c>
      <c r="R5">
        <v>4.6294113133443747E-6</v>
      </c>
      <c r="S5">
        <v>2.1516066818413572E-3</v>
      </c>
      <c r="T5">
        <f t="shared" si="0"/>
        <v>1.2000045776367188</v>
      </c>
    </row>
    <row r="6" spans="1:20" x14ac:dyDescent="0.15">
      <c r="A6" t="s">
        <v>35</v>
      </c>
      <c r="B6" t="s">
        <v>36</v>
      </c>
      <c r="C6">
        <v>718.97462499999995</v>
      </c>
      <c r="D6">
        <v>11</v>
      </c>
      <c r="E6">
        <v>200</v>
      </c>
      <c r="F6" t="s">
        <v>21</v>
      </c>
      <c r="G6" t="s">
        <v>37</v>
      </c>
      <c r="H6" t="s">
        <v>23</v>
      </c>
      <c r="I6" t="s">
        <v>24</v>
      </c>
      <c r="J6">
        <v>0.3</v>
      </c>
      <c r="K6">
        <v>15</v>
      </c>
      <c r="L6">
        <v>1.27</v>
      </c>
      <c r="M6">
        <v>0.13285275684514389</v>
      </c>
      <c r="N6" t="s">
        <v>25</v>
      </c>
      <c r="O6">
        <v>90</v>
      </c>
      <c r="P6">
        <v>81</v>
      </c>
      <c r="Q6">
        <v>4.9819783816928975E-4</v>
      </c>
      <c r="R6">
        <v>1.2465159040556069E-4</v>
      </c>
      <c r="S6">
        <v>1.1164747664213499E-2</v>
      </c>
      <c r="T6">
        <f t="shared" si="0"/>
        <v>9</v>
      </c>
    </row>
    <row r="7" spans="1:20" x14ac:dyDescent="0.15">
      <c r="A7" t="s">
        <v>38</v>
      </c>
      <c r="B7" t="s">
        <v>39</v>
      </c>
      <c r="C7">
        <v>1324.7847320000001</v>
      </c>
      <c r="D7">
        <v>22</v>
      </c>
      <c r="E7">
        <v>200</v>
      </c>
      <c r="F7" t="s">
        <v>21</v>
      </c>
      <c r="G7" t="s">
        <v>40</v>
      </c>
      <c r="H7" t="s">
        <v>23</v>
      </c>
      <c r="I7" t="s">
        <v>24</v>
      </c>
      <c r="J7">
        <v>0.3</v>
      </c>
      <c r="K7">
        <v>15</v>
      </c>
      <c r="L7">
        <v>1</v>
      </c>
      <c r="M7">
        <v>9.3570923898351838E-8</v>
      </c>
      <c r="N7" t="s">
        <v>25</v>
      </c>
      <c r="O7">
        <v>61.666667938232422</v>
      </c>
      <c r="P7">
        <v>61.666667938232422</v>
      </c>
      <c r="Q7">
        <v>7.1737708322069749E-11</v>
      </c>
      <c r="R7">
        <v>1.0849252152019539E-17</v>
      </c>
      <c r="S7">
        <v>3.293820297469117E-9</v>
      </c>
      <c r="T7">
        <f t="shared" si="0"/>
        <v>0</v>
      </c>
    </row>
    <row r="8" spans="1:20" x14ac:dyDescent="0.15">
      <c r="A8" t="s">
        <v>41</v>
      </c>
      <c r="B8" t="s">
        <v>42</v>
      </c>
      <c r="C8">
        <v>950.28497400000003</v>
      </c>
      <c r="D8">
        <v>15</v>
      </c>
      <c r="E8">
        <v>200</v>
      </c>
      <c r="F8" t="s">
        <v>21</v>
      </c>
      <c r="G8" t="s">
        <v>43</v>
      </c>
      <c r="H8" t="s">
        <v>23</v>
      </c>
      <c r="I8" t="s">
        <v>24</v>
      </c>
      <c r="J8">
        <v>0.3</v>
      </c>
      <c r="K8">
        <v>15</v>
      </c>
      <c r="L8">
        <v>1.130769230769231</v>
      </c>
      <c r="M8">
        <v>0.1219970656425825</v>
      </c>
      <c r="N8" t="s">
        <v>25</v>
      </c>
      <c r="O8">
        <v>93.076919555664063</v>
      </c>
      <c r="P8">
        <v>90</v>
      </c>
      <c r="Q8">
        <v>7.6607262569910523E-5</v>
      </c>
      <c r="R8">
        <v>2.0547750950471211E-5</v>
      </c>
      <c r="S8">
        <v>4.5329627122304029E-3</v>
      </c>
      <c r="T8">
        <f t="shared" si="0"/>
        <v>3.0769195556640625</v>
      </c>
    </row>
    <row r="9" spans="1:20" x14ac:dyDescent="0.15">
      <c r="A9" t="s">
        <v>44</v>
      </c>
      <c r="B9" t="s">
        <v>45</v>
      </c>
      <c r="C9">
        <v>441.51228600000002</v>
      </c>
      <c r="D9">
        <v>7</v>
      </c>
      <c r="E9">
        <v>200</v>
      </c>
      <c r="F9" t="s">
        <v>46</v>
      </c>
      <c r="G9" t="s">
        <v>22</v>
      </c>
      <c r="H9" t="s">
        <v>23</v>
      </c>
      <c r="I9" t="s">
        <v>24</v>
      </c>
      <c r="J9">
        <v>0.3</v>
      </c>
      <c r="K9">
        <v>15</v>
      </c>
      <c r="L9">
        <v>1</v>
      </c>
      <c r="M9">
        <v>1.2456439443288281E-8</v>
      </c>
      <c r="N9" t="s">
        <v>25</v>
      </c>
      <c r="O9">
        <v>85</v>
      </c>
      <c r="P9">
        <v>85</v>
      </c>
      <c r="Q9">
        <v>4.8657966575344847E-12</v>
      </c>
      <c r="R9">
        <v>1.099660525413726E-19</v>
      </c>
      <c r="S9">
        <v>3.3161129736692121E-10</v>
      </c>
      <c r="T9">
        <f t="shared" si="0"/>
        <v>0</v>
      </c>
    </row>
    <row r="10" spans="1:20" x14ac:dyDescent="0.15">
      <c r="A10" t="s">
        <v>47</v>
      </c>
      <c r="B10" t="s">
        <v>48</v>
      </c>
      <c r="C10">
        <v>1356.3310959999999</v>
      </c>
      <c r="D10">
        <v>22</v>
      </c>
      <c r="E10">
        <v>200</v>
      </c>
      <c r="F10" t="s">
        <v>46</v>
      </c>
      <c r="G10" t="s">
        <v>28</v>
      </c>
      <c r="H10" t="s">
        <v>23</v>
      </c>
      <c r="I10" t="s">
        <v>24</v>
      </c>
      <c r="J10">
        <v>0.3</v>
      </c>
      <c r="K10">
        <v>15</v>
      </c>
      <c r="L10">
        <v>1.8833333333333331</v>
      </c>
      <c r="M10">
        <v>0.113441288323057</v>
      </c>
      <c r="N10" t="s">
        <v>25</v>
      </c>
      <c r="O10">
        <v>95</v>
      </c>
      <c r="P10">
        <v>73.333335876464844</v>
      </c>
      <c r="Q10">
        <v>2.1626588761761289E-4</v>
      </c>
      <c r="R10">
        <v>4.6662865719303748E-5</v>
      </c>
      <c r="S10">
        <v>6.8310223041140594E-3</v>
      </c>
      <c r="T10">
        <f t="shared" si="0"/>
        <v>21.666664123535156</v>
      </c>
    </row>
    <row r="11" spans="1:20" x14ac:dyDescent="0.15">
      <c r="A11" t="s">
        <v>49</v>
      </c>
      <c r="B11" t="s">
        <v>50</v>
      </c>
      <c r="C11">
        <v>623.24994700000002</v>
      </c>
      <c r="D11">
        <v>10</v>
      </c>
      <c r="E11">
        <v>200</v>
      </c>
      <c r="F11" t="s">
        <v>46</v>
      </c>
      <c r="G11" t="s">
        <v>31</v>
      </c>
      <c r="H11" t="s">
        <v>23</v>
      </c>
      <c r="I11" t="s">
        <v>24</v>
      </c>
      <c r="J11">
        <v>0.3</v>
      </c>
      <c r="K11">
        <v>15</v>
      </c>
      <c r="L11">
        <v>1</v>
      </c>
      <c r="M11">
        <v>0</v>
      </c>
      <c r="N11" t="s">
        <v>25</v>
      </c>
      <c r="O11">
        <v>100</v>
      </c>
      <c r="P11">
        <v>100</v>
      </c>
      <c r="Q11">
        <v>0</v>
      </c>
      <c r="R11">
        <v>0</v>
      </c>
      <c r="S11">
        <v>0</v>
      </c>
      <c r="T11">
        <f t="shared" si="0"/>
        <v>0</v>
      </c>
    </row>
    <row r="12" spans="1:20" x14ac:dyDescent="0.15">
      <c r="A12" t="s">
        <v>51</v>
      </c>
      <c r="B12" t="s">
        <v>52</v>
      </c>
      <c r="C12">
        <v>5619.3696120000004</v>
      </c>
      <c r="D12">
        <v>93</v>
      </c>
      <c r="E12">
        <v>200</v>
      </c>
      <c r="F12" t="s">
        <v>46</v>
      </c>
      <c r="G12" t="s">
        <v>34</v>
      </c>
      <c r="H12" t="s">
        <v>23</v>
      </c>
      <c r="I12" t="s">
        <v>24</v>
      </c>
      <c r="J12">
        <v>0.3</v>
      </c>
      <c r="K12">
        <v>15</v>
      </c>
      <c r="L12">
        <v>1.3160000000000001</v>
      </c>
      <c r="M12">
        <v>0.1007619737165755</v>
      </c>
      <c r="N12" t="s">
        <v>25</v>
      </c>
      <c r="O12">
        <v>80.800003051757813</v>
      </c>
      <c r="P12">
        <v>73.199996948242188</v>
      </c>
      <c r="Q12">
        <v>6.4935494172904231E-5</v>
      </c>
      <c r="R12">
        <v>1.3286992461756491E-5</v>
      </c>
      <c r="S12">
        <v>3.6451327083875129E-3</v>
      </c>
      <c r="T12">
        <f t="shared" si="0"/>
        <v>7.600006103515625</v>
      </c>
    </row>
    <row r="13" spans="1:20" x14ac:dyDescent="0.15">
      <c r="A13" t="s">
        <v>53</v>
      </c>
      <c r="B13" t="s">
        <v>54</v>
      </c>
      <c r="C13">
        <v>2274.1503640000001</v>
      </c>
      <c r="D13">
        <v>37</v>
      </c>
      <c r="E13">
        <v>200</v>
      </c>
      <c r="F13" t="s">
        <v>46</v>
      </c>
      <c r="G13" t="s">
        <v>37</v>
      </c>
      <c r="H13" t="s">
        <v>23</v>
      </c>
      <c r="I13" t="s">
        <v>24</v>
      </c>
      <c r="J13">
        <v>0.3</v>
      </c>
      <c r="K13">
        <v>15</v>
      </c>
      <c r="L13">
        <v>1.19</v>
      </c>
      <c r="M13">
        <v>0.11060819005662639</v>
      </c>
      <c r="N13" t="s">
        <v>25</v>
      </c>
      <c r="O13">
        <v>89</v>
      </c>
      <c r="P13">
        <v>83</v>
      </c>
      <c r="Q13">
        <v>3.110855345342618E-4</v>
      </c>
      <c r="R13">
        <v>7.287132935259858E-5</v>
      </c>
      <c r="S13">
        <v>8.5364705442353972E-3</v>
      </c>
      <c r="T13">
        <f t="shared" si="0"/>
        <v>6</v>
      </c>
    </row>
    <row r="14" spans="1:20" x14ac:dyDescent="0.15">
      <c r="A14" t="s">
        <v>55</v>
      </c>
      <c r="B14" t="s">
        <v>56</v>
      </c>
      <c r="C14">
        <v>4015.8369069999999</v>
      </c>
      <c r="D14">
        <v>66</v>
      </c>
      <c r="E14">
        <v>200</v>
      </c>
      <c r="F14" t="s">
        <v>46</v>
      </c>
      <c r="G14" t="s">
        <v>40</v>
      </c>
      <c r="H14" t="s">
        <v>23</v>
      </c>
      <c r="I14" t="s">
        <v>24</v>
      </c>
      <c r="J14">
        <v>0.3</v>
      </c>
      <c r="K14">
        <v>15</v>
      </c>
      <c r="L14">
        <v>1</v>
      </c>
      <c r="M14">
        <v>3.791995428122506E-8</v>
      </c>
      <c r="N14" t="s">
        <v>25</v>
      </c>
      <c r="O14">
        <v>88.333335876464844</v>
      </c>
      <c r="P14">
        <v>88.333335876464844</v>
      </c>
      <c r="Q14">
        <v>5.7722597072531483E-11</v>
      </c>
      <c r="R14">
        <v>3.9852586948712172E-18</v>
      </c>
      <c r="S14">
        <v>1.9963112720393118E-9</v>
      </c>
      <c r="T14">
        <f t="shared" si="0"/>
        <v>0</v>
      </c>
    </row>
    <row r="15" spans="1:20" x14ac:dyDescent="0.15">
      <c r="A15" t="s">
        <v>57</v>
      </c>
      <c r="B15" t="s">
        <v>58</v>
      </c>
      <c r="C15">
        <v>2898.359336</v>
      </c>
      <c r="D15">
        <v>48</v>
      </c>
      <c r="E15">
        <v>200</v>
      </c>
      <c r="F15" t="s">
        <v>46</v>
      </c>
      <c r="G15" t="s">
        <v>43</v>
      </c>
      <c r="H15" t="s">
        <v>23</v>
      </c>
      <c r="I15" t="s">
        <v>24</v>
      </c>
      <c r="J15">
        <v>0.3</v>
      </c>
      <c r="K15">
        <v>15</v>
      </c>
      <c r="L15">
        <v>1.107692307692308</v>
      </c>
      <c r="M15">
        <v>8.111117677551441E-2</v>
      </c>
      <c r="N15" t="s">
        <v>25</v>
      </c>
      <c r="O15">
        <v>89.230766296386719</v>
      </c>
      <c r="P15">
        <v>86.923072814941406</v>
      </c>
      <c r="Q15">
        <v>6.0028455563847851E-5</v>
      </c>
      <c r="R15">
        <v>1.6772387581107289E-5</v>
      </c>
      <c r="S15">
        <v>4.0954105509835382E-3</v>
      </c>
      <c r="T15">
        <f t="shared" si="0"/>
        <v>2.3076934814453125</v>
      </c>
    </row>
    <row r="18" spans="9:11" x14ac:dyDescent="0.15">
      <c r="I18">
        <f>SUM(T2:T8)/7</f>
        <v>5.9443228585379462</v>
      </c>
      <c r="K18">
        <f>SUM(T9:T15)/7</f>
        <v>5.3677662440708707</v>
      </c>
    </row>
    <row r="19" spans="9:11" x14ac:dyDescent="0.15">
      <c r="I19">
        <f>SUM(L2:L8)/7</f>
        <v>1.2711575091575091</v>
      </c>
      <c r="K19">
        <f>SUM(L9:L15)/7</f>
        <v>1.2138608058608058</v>
      </c>
    </row>
    <row r="20" spans="9:11" x14ac:dyDescent="0.15">
      <c r="I20">
        <f>SUM(M2:M8)/7</f>
        <v>8.5604934072032735E-2</v>
      </c>
      <c r="K20">
        <f>SUM(M9:M15)/7</f>
        <v>5.7988954178309578E-2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山田　賢生</cp:lastModifiedBy>
  <dcterms:created xsi:type="dcterms:W3CDTF">2026-07-09T04:53:57Z</dcterms:created>
  <dcterms:modified xsi:type="dcterms:W3CDTF">2026-07-10T12:06:13Z</dcterms:modified>
</cp:coreProperties>
</file>